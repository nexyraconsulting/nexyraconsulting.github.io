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Employees" sheetId="2" r:id="rId2"/>
    <sheet name="Rota" sheetId="3" r:id="rId3"/>
    <sheet name="Timesheet" sheetId="4" r:id="rId4"/>
    <sheet name="Weekly" sheetId="5" r:id="rId5"/>
    <sheet name="Reports" sheetId="6" r:id="rId6"/>
    <sheet name="Settings" sheetId="7" r:id="rId7"/>
  </sheets>
  <definedNames>
    <definedName name="_xlnm._FilterDatabase" localSheetId="1">Employees!$A$1:$L$5</definedName>
    <definedName name="_xlnm._FilterDatabase" localSheetId="2">Rota!$A$1:$R$14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THE PINT BAR</v>
      </c>
    </row>
    <row r="2">
      <c r="A2" t="str">
        <v>Rota &amp; Timesheet — management dashboard</v>
      </c>
    </row>
    <row r="4">
      <c r="A4" t="str">
        <v>Employees on the books</v>
      </c>
      <c r="B4">
        <f>COUNTA(Employees!$A$2:$A$1000)</f>
      </c>
    </row>
    <row r="5">
      <c r="A5" t="str">
        <v>Full Time</v>
      </c>
      <c r="B5">
        <f>COUNTIF(Employees!$F:$F,"Full Time")</f>
      </c>
    </row>
    <row r="6">
      <c r="A6" t="str">
        <v>Part Time</v>
      </c>
      <c r="B6">
        <f>COUNTIF(Employees!$F:$F,"Part Time")</f>
      </c>
    </row>
    <row r="7">
      <c r="A7" t="str">
        <v>Zero Hour Contract</v>
      </c>
      <c r="B7">
        <f>COUNTIF(Employees!$F:$F,"Zero Hour Contract")</f>
      </c>
    </row>
    <row r="9">
      <c r="A9" t="str">
        <v>Total shifts</v>
      </c>
      <c r="B9">
        <f>COUNTA(Rota!$A$2:$A$14)</f>
      </c>
    </row>
    <row r="10">
      <c r="A10" t="str">
        <v>Total scheduled hours</v>
      </c>
      <c r="B10">
        <f>ROUND(SUM(Rota!$I$2:$I$14),2)</f>
      </c>
    </row>
    <row r="11">
      <c r="A11" t="str">
        <v>Total actual hours</v>
      </c>
      <c r="B11">
        <f>ROUND(SUM(Rota!$M$2:$M$14),2)</f>
      </c>
    </row>
    <row r="12">
      <c r="A12" t="str">
        <v>Total paid hours</v>
      </c>
      <c r="B12">
        <f>ROUND(SUM(Rota!$Q$2:$Q$14),2)</f>
      </c>
    </row>
    <row r="13">
      <c r="A13" t="str">
        <v>Total overtime</v>
      </c>
      <c r="B13">
        <f>ROUND(SUM(Weekly!$E:$E),2)</f>
      </c>
    </row>
    <row r="14">
      <c r="A14" t="str">
        <v>Average hours per employee</v>
      </c>
      <c r="B14">
        <f>IFERROR(ROUND(B12/B4,2),0)</f>
      </c>
    </row>
    <row r="16">
      <c r="A16" t="str">
        <v>Standard weekly hours</v>
      </c>
      <c r="B16">
        <f>Settings!$B$2</f>
      </c>
    </row>
    <row r="18">
      <c r="A18" t="str">
        <v>Rota, Timesheet and Weekly recalculate live. Edit the Employees and Rota sheets, then import this file back into Timesheet.dc.html.</v>
      </c>
    </row>
  </sheetData>
  <mergeCells count="2">
    <mergeCell ref="A1:B1"/>
    <mergeCell ref="A2:B2"/>
  </mergeCells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12.83203125" customWidth="1"/>
    <col min="9" max="9" width="34.83203125" customWidth="1"/>
    <col min="10" max="10" width="15.83203125" customWidth="1"/>
    <col min="11" max="11" width="13.83203125" customWidth="1"/>
    <col min="12" max="12" width="11.83203125" customWidth="1"/>
  </cols>
  <sheetData>
    <row r="1">
      <c r="A1" t="str">
        <v>Employee ID</v>
      </c>
      <c r="B1" t="str">
        <v>First Name</v>
      </c>
      <c r="C1" t="str">
        <v>Last Name</v>
      </c>
      <c r="D1" t="str">
        <v>Full Name</v>
      </c>
      <c r="E1" t="str">
        <v>Job Role</v>
      </c>
      <c r="F1" t="str">
        <v>Contract Type</v>
      </c>
      <c r="G1" t="str">
        <v>Status</v>
      </c>
      <c r="H1" t="str">
        <v>Start Date</v>
      </c>
      <c r="I1" t="str">
        <v>Notes</v>
      </c>
      <c r="J1" t="str">
        <v>Scheduled Hours</v>
      </c>
      <c r="K1" t="str">
        <v>Actual Hours</v>
      </c>
      <c r="L1" t="str">
        <v>Overtime</v>
      </c>
    </row>
    <row r="2">
      <c r="A2" t="str">
        <v>PB-001</v>
      </c>
      <c r="B2" t="str">
        <v>Tulsi Jagtap</v>
      </c>
      <c r="C2" t="str">
        <v>Surendar</v>
      </c>
      <c r="D2">
        <f>B2&amp;" "&amp;C2</f>
      </c>
      <c r="E2" t="str">
        <v>Bartender</v>
      </c>
      <c r="F2" t="str">
        <v>Zero Hour Contract</v>
      </c>
      <c r="G2" t="str">
        <v>Active</v>
      </c>
      <c r="H2" t="str">
        <v>2026-04-07</v>
      </c>
      <c r="I2" t="str">
        <v/>
      </c>
      <c r="J2">
        <f>ROUND(SUMIF(Rota!$B:$B,$A2,Rota!$I:$I),2)</f>
      </c>
      <c r="K2">
        <f>ROUND(SUMIF(Rota!$B:$B,$A2,Rota!$M:$M),2)</f>
      </c>
      <c r="L2">
        <f>ROUND(SUMIF(Weekly!$A:$A,$A2,Weekly!$E:$E),2)</f>
      </c>
    </row>
    <row r="3">
      <c r="A3" t="str">
        <v>PB-002</v>
      </c>
      <c r="B3" t="str">
        <v>Shiva Kumar</v>
      </c>
      <c r="C3" t="str">
        <v>Pulapati</v>
      </c>
      <c r="D3">
        <f>B3&amp;" "&amp;C3</f>
      </c>
      <c r="E3" t="str">
        <v>Bartender</v>
      </c>
      <c r="F3" t="str">
        <v>Zero Hour Contract</v>
      </c>
      <c r="G3" t="str">
        <v>Active</v>
      </c>
      <c r="H3" t="str">
        <v>2026-04-07</v>
      </c>
      <c r="I3" t="str">
        <v/>
      </c>
      <c r="J3">
        <f>ROUND(SUMIF(Rota!$B:$B,$A3,Rota!$I:$I),2)</f>
      </c>
      <c r="K3">
        <f>ROUND(SUMIF(Rota!$B:$B,$A3,Rota!$M:$M),2)</f>
      </c>
      <c r="L3">
        <f>ROUND(SUMIF(Weekly!$A:$A,$A3,Weekly!$E:$E),2)</f>
      </c>
    </row>
    <row r="4">
      <c r="A4" t="str">
        <v>PB-003</v>
      </c>
      <c r="B4" t="str">
        <v>Liam Philip</v>
      </c>
      <c r="C4" t="str">
        <v>Flude</v>
      </c>
      <c r="D4">
        <f>B4&amp;" "&amp;C4</f>
      </c>
      <c r="E4" t="str">
        <v>Supervisor</v>
      </c>
      <c r="F4" t="str">
        <v>Zero Hour Contract</v>
      </c>
      <c r="G4" t="str">
        <v>Active</v>
      </c>
      <c r="H4" t="str">
        <v>2026-04-01</v>
      </c>
      <c r="I4" t="str">
        <v/>
      </c>
      <c r="J4">
        <f>ROUND(SUMIF(Rota!$B:$B,$A4,Rota!$I:$I),2)</f>
      </c>
      <c r="K4">
        <f>ROUND(SUMIF(Rota!$B:$B,$A4,Rota!$M:$M),2)</f>
      </c>
      <c r="L4">
        <f>ROUND(SUMIF(Weekly!$A:$A,$A4,Weekly!$E:$E),2)</f>
      </c>
    </row>
    <row r="5">
      <c r="A5" t="str">
        <v>PB-004</v>
      </c>
      <c r="B5" t="str">
        <v>Callum John</v>
      </c>
      <c r="C5" t="str">
        <v>Kemp</v>
      </c>
      <c r="D5">
        <f>B5&amp;" "&amp;C5</f>
      </c>
      <c r="E5" t="str">
        <v>Bartender</v>
      </c>
      <c r="F5" t="str">
        <v>Zero Hour Contract</v>
      </c>
      <c r="G5" t="str">
        <v>Active</v>
      </c>
      <c r="H5" t="str">
        <v>2026-04-07</v>
      </c>
      <c r="I5" t="str">
        <v/>
      </c>
      <c r="J5">
        <f>ROUND(SUMIF(Rota!$B:$B,$A5,Rota!$I:$I),2)</f>
      </c>
      <c r="K5">
        <f>ROUND(SUMIF(Rota!$B:$B,$A5,Rota!$M:$M),2)</f>
      </c>
      <c r="L5">
        <f>ROUND(SUMIF(Weekly!$A:$A,$A5,Weekly!$E:$E),2)</f>
      </c>
    </row>
  </sheetData>
  <autoFilter ref="A1:L5"/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2.83203125" customWidth="1"/>
    <col min="5" max="5" width="7.83203125" customWidth="1"/>
    <col min="6" max="6" width="11.83203125" customWidth="1"/>
    <col min="7" max="7" width="11.83203125" customWidth="1"/>
    <col min="8" max="8" width="12.83203125" customWidth="1"/>
    <col min="9" max="9" width="15.83203125" customWidth="1"/>
    <col min="10" max="10" width="12.83203125" customWidth="1"/>
    <col min="11" max="11" width="12.83203125" customWidth="1"/>
    <col min="12" max="12" width="16.83203125" customWidth="1"/>
    <col min="13" max="13" width="13.83203125" customWidth="1"/>
    <col min="14" max="14" width="18.83203125" customWidth="1"/>
    <col min="15" max="15" width="16.83203125" customWidth="1"/>
    <col min="16" max="16" width="13.83203125" customWidth="1"/>
    <col min="17" max="17" width="11.83203125" customWidth="1"/>
    <col min="18" max="18" width="24.83203125" customWidth="1"/>
  </cols>
  <sheetData>
    <row r="1">
      <c r="A1" t="str">
        <v>Shift ID</v>
      </c>
      <c r="B1" t="str">
        <v>Employee ID</v>
      </c>
      <c r="C1" t="str">
        <v>Employee</v>
      </c>
      <c r="D1" t="str">
        <v>Date</v>
      </c>
      <c r="E1" t="str">
        <v>Day</v>
      </c>
      <c r="F1" t="str">
        <v>Shift Start</v>
      </c>
      <c r="G1" t="str">
        <v>Shift End</v>
      </c>
      <c r="H1" t="str">
        <v>Break (min)</v>
      </c>
      <c r="I1" t="str">
        <v>Scheduled Hours</v>
      </c>
      <c r="J1" t="str">
        <v>Actual Start</v>
      </c>
      <c r="K1" t="str">
        <v>Actual End</v>
      </c>
      <c r="L1" t="str">
        <v>Actual Break (min)</v>
      </c>
      <c r="M1" t="str">
        <v>Actual Hours</v>
      </c>
      <c r="N1" t="str">
        <v>Contract Type</v>
      </c>
      <c r="O1" t="str">
        <v>Job Role</v>
      </c>
      <c r="P1" t="str">
        <v>Week Starting</v>
      </c>
      <c r="Q1" t="str">
        <v>Paid Hours</v>
      </c>
      <c r="R1" t="str">
        <v>Notes</v>
      </c>
    </row>
    <row r="2">
      <c r="A2" t="str">
        <v>SMTZ0TSW5</v>
      </c>
      <c r="B2" t="str">
        <v>PB-001</v>
      </c>
      <c r="C2" t="str">
        <v>Tulsi Jagtap Surendar</v>
      </c>
      <c r="D2" t="str">
        <v>2026-09-07</v>
      </c>
      <c r="E2" t="str">
        <v>Mon</v>
      </c>
      <c r="F2" t="str">
        <v>11:00</v>
      </c>
      <c r="G2" t="str">
        <v>16:00</v>
      </c>
      <c r="H2">
        <v>0</v>
      </c>
      <c r="I2">
        <f>IF(OR($F2="",$G2=""),"",ROUND(MOD(TIMEVALUE($G2)-TIMEVALUE($F2),1)*24-$H2/60,2))</f>
      </c>
      <c r="J2" t="str">
        <v>11:00</v>
      </c>
      <c r="K2" t="str">
        <v>16:00</v>
      </c>
      <c r="L2">
        <v>0</v>
      </c>
      <c r="M2">
        <f>IF(OR($J2="",$K2=""),"",ROUND(MOD(TIMEVALUE($K2)-TIMEVALUE($J2),1)*24-IF($L2="",0,$L2)/60,2))</f>
      </c>
      <c r="N2">
        <f>IFERROR(VLOOKUP($B2,Employees!$A:$F,6,FALSE),"")</f>
      </c>
      <c r="O2">
        <f>IFERROR(VLOOKUP($B2,Employees!$A:$F,5,FALSE),"")</f>
      </c>
      <c r="P2" t="str">
        <v>2026-09-07</v>
      </c>
      <c r="Q2">
        <f>IF($M2="",$I2,$M2)</f>
      </c>
      <c r="R2" t="str">
        <v/>
      </c>
    </row>
    <row r="3">
      <c r="A3" t="str">
        <v>SMTZ0YF0F</v>
      </c>
      <c r="B3" t="str">
        <v>PB-003</v>
      </c>
      <c r="C3" t="str">
        <v>Liam Philip Flude</v>
      </c>
      <c r="D3" t="str">
        <v>2026-09-07</v>
      </c>
      <c r="E3" t="str">
        <v>Mon</v>
      </c>
      <c r="F3" t="str">
        <v>16:00</v>
      </c>
      <c r="G3" t="str">
        <v>00:00</v>
      </c>
      <c r="H3">
        <v>60</v>
      </c>
      <c r="I3">
        <f>IF(OR($F3="",$G3=""),"",ROUND(MOD(TIMEVALUE($G3)-TIMEVALUE($F3),1)*24-$H3/60,2))</f>
      </c>
      <c r="J3" t="str">
        <v>16:00</v>
      </c>
      <c r="K3" t="str">
        <v>00:00</v>
      </c>
      <c r="L3">
        <v>60</v>
      </c>
      <c r="M3">
        <f>IF(OR($J3="",$K3=""),"",ROUND(MOD(TIMEVALUE($K3)-TIMEVALUE($J3),1)*24-IF($L3="",0,$L3)/60,2))</f>
      </c>
      <c r="N3">
        <f>IFERROR(VLOOKUP($B3,Employees!$A:$F,6,FALSE),"")</f>
      </c>
      <c r="O3">
        <f>IFERROR(VLOOKUP($B3,Employees!$A:$F,5,FALSE),"")</f>
      </c>
      <c r="P3" t="str">
        <v>2026-09-07</v>
      </c>
      <c r="Q3">
        <f>IF($M3="",$I3,$M3)</f>
      </c>
      <c r="R3" t="str">
        <v/>
      </c>
    </row>
    <row r="4">
      <c r="A4" t="str">
        <v>SMTZ0UVL8</v>
      </c>
      <c r="B4" t="str">
        <v>PB-001</v>
      </c>
      <c r="C4" t="str">
        <v>Tulsi Jagtap Surendar</v>
      </c>
      <c r="D4" t="str">
        <v>2026-09-08</v>
      </c>
      <c r="E4" t="str">
        <v>Tue</v>
      </c>
      <c r="F4" t="str">
        <v>15:00</v>
      </c>
      <c r="G4" t="str">
        <v>00:00</v>
      </c>
      <c r="H4">
        <v>60</v>
      </c>
      <c r="I4">
        <f>IF(OR($F4="",$G4=""),"",ROUND(MOD(TIMEVALUE($G4)-TIMEVALUE($F4),1)*24-$H4/60,2))</f>
      </c>
      <c r="J4" t="str">
        <v>15:00</v>
      </c>
      <c r="K4" t="str">
        <v>00:00</v>
      </c>
      <c r="L4">
        <v>60</v>
      </c>
      <c r="M4">
        <f>IF(OR($J4="",$K4=""),"",ROUND(MOD(TIMEVALUE($K4)-TIMEVALUE($J4),1)*24-IF($L4="",0,$L4)/60,2))</f>
      </c>
      <c r="N4">
        <f>IFERROR(VLOOKUP($B4,Employees!$A:$F,6,FALSE),"")</f>
      </c>
      <c r="O4">
        <f>IFERROR(VLOOKUP($B4,Employees!$A:$F,5,FALSE),"")</f>
      </c>
      <c r="P4" t="str">
        <v>2026-09-07</v>
      </c>
      <c r="Q4">
        <f>IF($M4="",$I4,$M4)</f>
      </c>
      <c r="R4" t="str">
        <v/>
      </c>
    </row>
    <row r="5">
      <c r="A5" t="str">
        <v>SMTZ0Z114</v>
      </c>
      <c r="B5" t="str">
        <v>PB-002</v>
      </c>
      <c r="C5" t="str">
        <v>Shiva Kumar Pulapati</v>
      </c>
      <c r="D5" t="str">
        <v>2026-09-08</v>
      </c>
      <c r="E5" t="str">
        <v>Tue</v>
      </c>
      <c r="F5" t="str">
        <v>11:00</v>
      </c>
      <c r="G5" t="str">
        <v>15:00</v>
      </c>
      <c r="H5">
        <v>0</v>
      </c>
      <c r="I5">
        <f>IF(OR($F5="",$G5=""),"",ROUND(MOD(TIMEVALUE($G5)-TIMEVALUE($F5),1)*24-$H5/60,2))</f>
      </c>
      <c r="J5" t="str">
        <v>11:00</v>
      </c>
      <c r="K5" t="str">
        <v>15:00</v>
      </c>
      <c r="L5">
        <v>0</v>
      </c>
      <c r="M5">
        <f>IF(OR($J5="",$K5=""),"",ROUND(MOD(TIMEVALUE($K5)-TIMEVALUE($J5),1)*24-IF($L5="",0,$L5)/60,2))</f>
      </c>
      <c r="N5">
        <f>IFERROR(VLOOKUP($B5,Employees!$A:$F,6,FALSE),"")</f>
      </c>
      <c r="O5">
        <f>IFERROR(VLOOKUP($B5,Employees!$A:$F,5,FALSE),"")</f>
      </c>
      <c r="P5" t="str">
        <v>2026-09-07</v>
      </c>
      <c r="Q5">
        <f>IF($M5="",$I5,$M5)</f>
      </c>
      <c r="R5" t="str">
        <v/>
      </c>
    </row>
    <row r="6">
      <c r="A6" t="str">
        <v>SMTZ0VK94</v>
      </c>
      <c r="B6" t="str">
        <v>PB-001</v>
      </c>
      <c r="C6" t="str">
        <v>Tulsi Jagtap Surendar</v>
      </c>
      <c r="D6" t="str">
        <v>2026-09-09</v>
      </c>
      <c r="E6" t="str">
        <v>Wed</v>
      </c>
      <c r="F6" t="str">
        <v>16:00</v>
      </c>
      <c r="G6" t="str">
        <v>00:00</v>
      </c>
      <c r="H6">
        <v>60</v>
      </c>
      <c r="I6">
        <f>IF(OR($F6="",$G6=""),"",ROUND(MOD(TIMEVALUE($G6)-TIMEVALUE($F6),1)*24-$H6/60,2))</f>
      </c>
      <c r="J6" t="str">
        <v>16:00</v>
      </c>
      <c r="K6" t="str">
        <v>00:00</v>
      </c>
      <c r="L6">
        <v>60</v>
      </c>
      <c r="M6">
        <f>IF(OR($J6="",$K6=""),"",ROUND(MOD(TIMEVALUE($K6)-TIMEVALUE($J6),1)*24-IF($L6="",0,$L6)/60,2))</f>
      </c>
      <c r="N6">
        <f>IFERROR(VLOOKUP($B6,Employees!$A:$F,6,FALSE),"")</f>
      </c>
      <c r="O6">
        <f>IFERROR(VLOOKUP($B6,Employees!$A:$F,5,FALSE),"")</f>
      </c>
      <c r="P6" t="str">
        <v>2026-09-07</v>
      </c>
      <c r="Q6">
        <f>IF($M6="",$I6,$M6)</f>
      </c>
      <c r="R6" t="str">
        <v/>
      </c>
    </row>
    <row r="7">
      <c r="A7" t="str">
        <v>SMTZ0ZXFC</v>
      </c>
      <c r="B7" t="str">
        <v>PB-004</v>
      </c>
      <c r="C7" t="str">
        <v>Callum John Kemp</v>
      </c>
      <c r="D7" t="str">
        <v>2026-09-09</v>
      </c>
      <c r="E7" t="str">
        <v>Wed</v>
      </c>
      <c r="F7" t="str">
        <v>11:00</v>
      </c>
      <c r="G7" t="str">
        <v>16:00</v>
      </c>
      <c r="H7">
        <v>0</v>
      </c>
      <c r="I7">
        <f>IF(OR($F7="",$G7=""),"",ROUND(MOD(TIMEVALUE($G7)-TIMEVALUE($F7),1)*24-$H7/60,2))</f>
      </c>
      <c r="J7" t="str">
        <v>11:00</v>
      </c>
      <c r="K7" t="str">
        <v>16:00</v>
      </c>
      <c r="L7">
        <v>0</v>
      </c>
      <c r="M7">
        <f>IF(OR($J7="",$K7=""),"",ROUND(MOD(TIMEVALUE($K7)-TIMEVALUE($J7),1)*24-IF($L7="",0,$L7)/60,2))</f>
      </c>
      <c r="N7">
        <f>IFERROR(VLOOKUP($B7,Employees!$A:$F,6,FALSE),"")</f>
      </c>
      <c r="O7">
        <f>IFERROR(VLOOKUP($B7,Employees!$A:$F,5,FALSE),"")</f>
      </c>
      <c r="P7" t="str">
        <v>2026-09-07</v>
      </c>
      <c r="Q7">
        <f>IF($M7="",$I7,$M7)</f>
      </c>
      <c r="R7" t="str">
        <v/>
      </c>
    </row>
    <row r="8">
      <c r="A8" t="str">
        <v>SMTZ0W56N</v>
      </c>
      <c r="B8" t="str">
        <v>PB-001</v>
      </c>
      <c r="C8" t="str">
        <v>Tulsi Jagtap Surendar</v>
      </c>
      <c r="D8" t="str">
        <v>2026-09-10</v>
      </c>
      <c r="E8" t="str">
        <v>Thu</v>
      </c>
      <c r="F8" t="str">
        <v>16:00</v>
      </c>
      <c r="G8" t="str">
        <v>00:00</v>
      </c>
      <c r="H8">
        <v>60</v>
      </c>
      <c r="I8">
        <f>IF(OR($F8="",$G8=""),"",ROUND(MOD(TIMEVALUE($G8)-TIMEVALUE($F8),1)*24-$H8/60,2))</f>
      </c>
      <c r="J8" t="str">
        <v>16:00</v>
      </c>
      <c r="K8" t="str">
        <v>00:00</v>
      </c>
      <c r="L8">
        <v>60</v>
      </c>
      <c r="M8">
        <f>IF(OR($J8="",$K8=""),"",ROUND(MOD(TIMEVALUE($K8)-TIMEVALUE($J8),1)*24-IF($L8="",0,$L8)/60,2))</f>
      </c>
      <c r="N8">
        <f>IFERROR(VLOOKUP($B8,Employees!$A:$F,6,FALSE),"")</f>
      </c>
      <c r="O8">
        <f>IFERROR(VLOOKUP($B8,Employees!$A:$F,5,FALSE),"")</f>
      </c>
      <c r="P8" t="str">
        <v>2026-09-07</v>
      </c>
      <c r="Q8">
        <f>IF($M8="",$I8,$M8)</f>
      </c>
      <c r="R8" t="str">
        <v/>
      </c>
    </row>
    <row r="9">
      <c r="A9" t="str">
        <v>SMTZ10XLD</v>
      </c>
      <c r="B9" t="str">
        <v>PB-004</v>
      </c>
      <c r="C9" t="str">
        <v>Callum John Kemp</v>
      </c>
      <c r="D9" t="str">
        <v>2026-09-10</v>
      </c>
      <c r="E9" t="str">
        <v>Thu</v>
      </c>
      <c r="F9" t="str">
        <v>11:00</v>
      </c>
      <c r="G9" t="str">
        <v>16:00</v>
      </c>
      <c r="H9">
        <v>0</v>
      </c>
      <c r="I9">
        <f>IF(OR($F9="",$G9=""),"",ROUND(MOD(TIMEVALUE($G9)-TIMEVALUE($F9),1)*24-$H9/60,2))</f>
      </c>
      <c r="J9" t="str">
        <v>11:00</v>
      </c>
      <c r="K9" t="str">
        <v>16:00</v>
      </c>
      <c r="L9">
        <v>0</v>
      </c>
      <c r="M9">
        <f>IF(OR($J9="",$K9=""),"",ROUND(MOD(TIMEVALUE($K9)-TIMEVALUE($J9),1)*24-IF($L9="",0,$L9)/60,2))</f>
      </c>
      <c r="N9">
        <f>IFERROR(VLOOKUP($B9,Employees!$A:$F,6,FALSE),"")</f>
      </c>
      <c r="O9">
        <f>IFERROR(VLOOKUP($B9,Employees!$A:$F,5,FALSE),"")</f>
      </c>
      <c r="P9" t="str">
        <v>2026-09-07</v>
      </c>
      <c r="Q9">
        <f>IF($M9="",$I9,$M9)</f>
      </c>
      <c r="R9" t="str">
        <v/>
      </c>
    </row>
    <row r="10">
      <c r="A10" t="str">
        <v>SMTZ0WTFC</v>
      </c>
      <c r="B10" t="str">
        <v>PB-001</v>
      </c>
      <c r="C10" t="str">
        <v>Tulsi Jagtap Surendar</v>
      </c>
      <c r="D10" t="str">
        <v>2026-09-11</v>
      </c>
      <c r="E10" t="str">
        <v>Fri</v>
      </c>
      <c r="F10" t="str">
        <v>15:00</v>
      </c>
      <c r="G10" t="str">
        <v>00:00</v>
      </c>
      <c r="H10">
        <v>60</v>
      </c>
      <c r="I10">
        <f>IF(OR($F10="",$G10=""),"",ROUND(MOD(TIMEVALUE($G10)-TIMEVALUE($F10),1)*24-$H10/60,2))</f>
      </c>
      <c r="J10" t="str">
        <v>15:00</v>
      </c>
      <c r="K10" t="str">
        <v>00:00</v>
      </c>
      <c r="L10">
        <v>60</v>
      </c>
      <c r="M10">
        <f>IF(OR($J10="",$K10=""),"",ROUND(MOD(TIMEVALUE($K10)-TIMEVALUE($J10),1)*24-IF($L10="",0,$L10)/60,2))</f>
      </c>
      <c r="N10">
        <f>IFERROR(VLOOKUP($B10,Employees!$A:$F,6,FALSE),"")</f>
      </c>
      <c r="O10">
        <f>IFERROR(VLOOKUP($B10,Employees!$A:$F,5,FALSE),"")</f>
      </c>
      <c r="P10" t="str">
        <v>2026-09-07</v>
      </c>
      <c r="Q10">
        <f>IF($M10="",$I10,$M10)</f>
      </c>
      <c r="R10" t="str">
        <v/>
      </c>
    </row>
    <row r="11">
      <c r="A11" t="str">
        <v>SMTZ11LCZ</v>
      </c>
      <c r="B11" t="str">
        <v>PB-004</v>
      </c>
      <c r="C11" t="str">
        <v>Callum John Kemp</v>
      </c>
      <c r="D11" t="str">
        <v>2026-09-11</v>
      </c>
      <c r="E11" t="str">
        <v>Fri</v>
      </c>
      <c r="F11" t="str">
        <v>11:00</v>
      </c>
      <c r="G11" t="str">
        <v>15:00</v>
      </c>
      <c r="H11">
        <v>0</v>
      </c>
      <c r="I11">
        <f>IF(OR($F11="",$G11=""),"",ROUND(MOD(TIMEVALUE($G11)-TIMEVALUE($F11),1)*24-$H11/60,2))</f>
      </c>
      <c r="J11" t="str">
        <v>11:00</v>
      </c>
      <c r="K11" t="str">
        <v>15:00</v>
      </c>
      <c r="L11">
        <v>0</v>
      </c>
      <c r="M11">
        <f>IF(OR($J11="",$K11=""),"",ROUND(MOD(TIMEVALUE($K11)-TIMEVALUE($J11),1)*24-IF($L11="",0,$L11)/60,2))</f>
      </c>
      <c r="N11">
        <f>IFERROR(VLOOKUP($B11,Employees!$A:$F,6,FALSE),"")</f>
      </c>
      <c r="O11">
        <f>IFERROR(VLOOKUP($B11,Employees!$A:$F,5,FALSE),"")</f>
      </c>
      <c r="P11" t="str">
        <v>2026-09-07</v>
      </c>
      <c r="Q11">
        <f>IF($M11="",$I11,$M11)</f>
      </c>
      <c r="R11" t="str">
        <v/>
      </c>
    </row>
    <row r="12">
      <c r="A12" t="str">
        <v>SMTZ0XC64</v>
      </c>
      <c r="B12" t="str">
        <v>PB-001</v>
      </c>
      <c r="C12" t="str">
        <v>Tulsi Jagtap Surendar</v>
      </c>
      <c r="D12" t="str">
        <v>2026-09-12</v>
      </c>
      <c r="E12" t="str">
        <v>Sat</v>
      </c>
      <c r="F12" t="str">
        <v>15:30</v>
      </c>
      <c r="G12" t="str">
        <v>00:00</v>
      </c>
      <c r="H12">
        <v>60</v>
      </c>
      <c r="I12">
        <f>IF(OR($F12="",$G12=""),"",ROUND(MOD(TIMEVALUE($G12)-TIMEVALUE($F12),1)*24-$H12/60,2))</f>
      </c>
      <c r="J12" t="str">
        <v>15:30</v>
      </c>
      <c r="K12" t="str">
        <v>00:00</v>
      </c>
      <c r="L12">
        <v>60</v>
      </c>
      <c r="M12">
        <f>IF(OR($J12="",$K12=""),"",ROUND(MOD(TIMEVALUE($K12)-TIMEVALUE($J12),1)*24-IF($L12="",0,$L12)/60,2))</f>
      </c>
      <c r="N12">
        <f>IFERROR(VLOOKUP($B12,Employees!$A:$F,6,FALSE),"")</f>
      </c>
      <c r="O12">
        <f>IFERROR(VLOOKUP($B12,Employees!$A:$F,5,FALSE),"")</f>
      </c>
      <c r="P12" t="str">
        <v>2026-09-07</v>
      </c>
      <c r="Q12">
        <f>IF($M12="",$I12,$M12)</f>
      </c>
      <c r="R12" t="str">
        <v/>
      </c>
    </row>
    <row r="13">
      <c r="A13" t="str">
        <v>SMTZ128Z0</v>
      </c>
      <c r="B13" t="str">
        <v>PB-002</v>
      </c>
      <c r="C13" t="str">
        <v>Shiva Kumar Pulapati</v>
      </c>
      <c r="D13" t="str">
        <v>2026-09-12</v>
      </c>
      <c r="E13" t="str">
        <v>Sat</v>
      </c>
      <c r="F13" t="str">
        <v>11:00</v>
      </c>
      <c r="G13" t="str">
        <v>15:30</v>
      </c>
      <c r="H13">
        <v>0</v>
      </c>
      <c r="I13">
        <f>IF(OR($F13="",$G13=""),"",ROUND(MOD(TIMEVALUE($G13)-TIMEVALUE($F13),1)*24-$H13/60,2))</f>
      </c>
      <c r="J13" t="str">
        <v>11:00</v>
      </c>
      <c r="K13" t="str">
        <v>15:00</v>
      </c>
      <c r="L13">
        <v>0</v>
      </c>
      <c r="M13">
        <f>IF(OR($J13="",$K13=""),"",ROUND(MOD(TIMEVALUE($K13)-TIMEVALUE($J13),1)*24-IF($L13="",0,$L13)/60,2))</f>
      </c>
      <c r="N13">
        <f>IFERROR(VLOOKUP($B13,Employees!$A:$F,6,FALSE),"")</f>
      </c>
      <c r="O13">
        <f>IFERROR(VLOOKUP($B13,Employees!$A:$F,5,FALSE),"")</f>
      </c>
      <c r="P13" t="str">
        <v>2026-09-07</v>
      </c>
      <c r="Q13">
        <f>IF($M13="",$I13,$M13)</f>
      </c>
      <c r="R13" t="str">
        <v/>
      </c>
    </row>
    <row r="14">
      <c r="A14" t="str">
        <v>SMTZ13DWQ</v>
      </c>
      <c r="B14" t="str">
        <v>PB-003</v>
      </c>
      <c r="C14" t="str">
        <v>Liam Philip Flude</v>
      </c>
      <c r="D14" t="str">
        <v>2026-09-13</v>
      </c>
      <c r="E14" t="str">
        <v>Sun</v>
      </c>
      <c r="F14" t="str">
        <v>11:00</v>
      </c>
      <c r="G14" t="str">
        <v>00:00</v>
      </c>
      <c r="H14">
        <v>60</v>
      </c>
      <c r="I14">
        <f>IF(OR($F14="",$G14=""),"",ROUND(MOD(TIMEVALUE($G14)-TIMEVALUE($F14),1)*24-$H14/60,2))</f>
      </c>
      <c r="J14" t="str">
        <v>11:00</v>
      </c>
      <c r="K14" t="str">
        <v>00:00</v>
      </c>
      <c r="L14">
        <v>60</v>
      </c>
      <c r="M14">
        <f>IF(OR($J14="",$K14=""),"",ROUND(MOD(TIMEVALUE($K14)-TIMEVALUE($J14),1)*24-IF($L14="",0,$L14)/60,2))</f>
      </c>
      <c r="N14">
        <f>IFERROR(VLOOKUP($B14,Employees!$A:$F,6,FALSE),"")</f>
      </c>
      <c r="O14">
        <f>IFERROR(VLOOKUP($B14,Employees!$A:$F,5,FALSE),"")</f>
      </c>
      <c r="P14" t="str">
        <v>2026-09-07</v>
      </c>
      <c r="Q14">
        <f>IF($M14="",$I14,$M14)</f>
      </c>
      <c r="R14" t="str">
        <v/>
      </c>
    </row>
  </sheetData>
  <autoFilter ref="A1:R14"/>
  <ignoredErrors>
    <ignoredError numberStoredAsText="1" sqref="A1:R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8.83203125" customWidth="1"/>
    <col min="2" max="2" width="12.83203125" customWidth="1"/>
    <col min="3" max="3" width="7.83203125" customWidth="1"/>
    <col min="4" max="4" width="16.83203125" customWidth="1"/>
    <col min="5" max="5" width="14.83203125" customWidth="1"/>
    <col min="6" max="6" width="11.83203125" customWidth="1"/>
    <col min="7" max="7" width="12.83203125" customWidth="1"/>
  </cols>
  <sheetData>
    <row r="1">
      <c r="A1" t="str">
        <v>Employee</v>
      </c>
      <c r="B1" t="str">
        <v>Date</v>
      </c>
      <c r="C1" t="str">
        <v>Day</v>
      </c>
      <c r="D1" t="str">
        <v>Scheduled Hours</v>
      </c>
      <c r="E1" t="str">
        <v>Actual Hours</v>
      </c>
      <c r="F1" t="str">
        <v>Variance</v>
      </c>
      <c r="G1" t="str">
        <v>Paid Hours</v>
      </c>
    </row>
    <row r="2">
      <c r="A2">
        <f>Rota!$C2</f>
      </c>
      <c r="B2">
        <f>Rota!$D2</f>
      </c>
      <c r="C2">
        <f>Rota!$E2</f>
      </c>
      <c r="D2">
        <f>Rota!$I2</f>
      </c>
      <c r="E2">
        <f>Rota!$M2</f>
      </c>
      <c r="F2">
        <f>IF(OR(Rota!$I2="",Rota!$M2=""),"",ROUND(Rota!$M2-Rota!$I2,2))</f>
      </c>
      <c r="G2">
        <f>Rota!$Q2</f>
      </c>
    </row>
    <row r="3">
      <c r="A3">
        <f>Rota!$C3</f>
      </c>
      <c r="B3">
        <f>Rota!$D3</f>
      </c>
      <c r="C3">
        <f>Rota!$E3</f>
      </c>
      <c r="D3">
        <f>Rota!$I3</f>
      </c>
      <c r="E3">
        <f>Rota!$M3</f>
      </c>
      <c r="F3">
        <f>IF(OR(Rota!$I3="",Rota!$M3=""),"",ROUND(Rota!$M3-Rota!$I3,2))</f>
      </c>
      <c r="G3">
        <f>Rota!$Q3</f>
      </c>
    </row>
    <row r="4">
      <c r="A4">
        <f>Rota!$C4</f>
      </c>
      <c r="B4">
        <f>Rota!$D4</f>
      </c>
      <c r="C4">
        <f>Rota!$E4</f>
      </c>
      <c r="D4">
        <f>Rota!$I4</f>
      </c>
      <c r="E4">
        <f>Rota!$M4</f>
      </c>
      <c r="F4">
        <f>IF(OR(Rota!$I4="",Rota!$M4=""),"",ROUND(Rota!$M4-Rota!$I4,2))</f>
      </c>
      <c r="G4">
        <f>Rota!$Q4</f>
      </c>
    </row>
    <row r="5">
      <c r="A5">
        <f>Rota!$C5</f>
      </c>
      <c r="B5">
        <f>Rota!$D5</f>
      </c>
      <c r="C5">
        <f>Rota!$E5</f>
      </c>
      <c r="D5">
        <f>Rota!$I5</f>
      </c>
      <c r="E5">
        <f>Rota!$M5</f>
      </c>
      <c r="F5">
        <f>IF(OR(Rota!$I5="",Rota!$M5=""),"",ROUND(Rota!$M5-Rota!$I5,2))</f>
      </c>
      <c r="G5">
        <f>Rota!$Q5</f>
      </c>
    </row>
    <row r="6">
      <c r="A6">
        <f>Rota!$C6</f>
      </c>
      <c r="B6">
        <f>Rota!$D6</f>
      </c>
      <c r="C6">
        <f>Rota!$E6</f>
      </c>
      <c r="D6">
        <f>Rota!$I6</f>
      </c>
      <c r="E6">
        <f>Rota!$M6</f>
      </c>
      <c r="F6">
        <f>IF(OR(Rota!$I6="",Rota!$M6=""),"",ROUND(Rota!$M6-Rota!$I6,2))</f>
      </c>
      <c r="G6">
        <f>Rota!$Q6</f>
      </c>
    </row>
    <row r="7">
      <c r="A7">
        <f>Rota!$C7</f>
      </c>
      <c r="B7">
        <f>Rota!$D7</f>
      </c>
      <c r="C7">
        <f>Rota!$E7</f>
      </c>
      <c r="D7">
        <f>Rota!$I7</f>
      </c>
      <c r="E7">
        <f>Rota!$M7</f>
      </c>
      <c r="F7">
        <f>IF(OR(Rota!$I7="",Rota!$M7=""),"",ROUND(Rota!$M7-Rota!$I7,2))</f>
      </c>
      <c r="G7">
        <f>Rota!$Q7</f>
      </c>
    </row>
    <row r="8">
      <c r="A8">
        <f>Rota!$C8</f>
      </c>
      <c r="B8">
        <f>Rota!$D8</f>
      </c>
      <c r="C8">
        <f>Rota!$E8</f>
      </c>
      <c r="D8">
        <f>Rota!$I8</f>
      </c>
      <c r="E8">
        <f>Rota!$M8</f>
      </c>
      <c r="F8">
        <f>IF(OR(Rota!$I8="",Rota!$M8=""),"",ROUND(Rota!$M8-Rota!$I8,2))</f>
      </c>
      <c r="G8">
        <f>Rota!$Q8</f>
      </c>
    </row>
    <row r="9">
      <c r="A9">
        <f>Rota!$C9</f>
      </c>
      <c r="B9">
        <f>Rota!$D9</f>
      </c>
      <c r="C9">
        <f>Rota!$E9</f>
      </c>
      <c r="D9">
        <f>Rota!$I9</f>
      </c>
      <c r="E9">
        <f>Rota!$M9</f>
      </c>
      <c r="F9">
        <f>IF(OR(Rota!$I9="",Rota!$M9=""),"",ROUND(Rota!$M9-Rota!$I9,2))</f>
      </c>
      <c r="G9">
        <f>Rota!$Q9</f>
      </c>
    </row>
    <row r="10">
      <c r="A10">
        <f>Rota!$C10</f>
      </c>
      <c r="B10">
        <f>Rota!$D10</f>
      </c>
      <c r="C10">
        <f>Rota!$E10</f>
      </c>
      <c r="D10">
        <f>Rota!$I10</f>
      </c>
      <c r="E10">
        <f>Rota!$M10</f>
      </c>
      <c r="F10">
        <f>IF(OR(Rota!$I10="",Rota!$M10=""),"",ROUND(Rota!$M10-Rota!$I10,2))</f>
      </c>
      <c r="G10">
        <f>Rota!$Q10</f>
      </c>
    </row>
    <row r="11">
      <c r="A11">
        <f>Rota!$C11</f>
      </c>
      <c r="B11">
        <f>Rota!$D11</f>
      </c>
      <c r="C11">
        <f>Rota!$E11</f>
      </c>
      <c r="D11">
        <f>Rota!$I11</f>
      </c>
      <c r="E11">
        <f>Rota!$M11</f>
      </c>
      <c r="F11">
        <f>IF(OR(Rota!$I11="",Rota!$M11=""),"",ROUND(Rota!$M11-Rota!$I11,2))</f>
      </c>
      <c r="G11">
        <f>Rota!$Q11</f>
      </c>
    </row>
    <row r="12">
      <c r="A12">
        <f>Rota!$C12</f>
      </c>
      <c r="B12">
        <f>Rota!$D12</f>
      </c>
      <c r="C12">
        <f>Rota!$E12</f>
      </c>
      <c r="D12">
        <f>Rota!$I12</f>
      </c>
      <c r="E12">
        <f>Rota!$M12</f>
      </c>
      <c r="F12">
        <f>IF(OR(Rota!$I12="",Rota!$M12=""),"",ROUND(Rota!$M12-Rota!$I12,2))</f>
      </c>
      <c r="G12">
        <f>Rota!$Q12</f>
      </c>
    </row>
    <row r="13">
      <c r="A13">
        <f>Rota!$C13</f>
      </c>
      <c r="B13">
        <f>Rota!$D13</f>
      </c>
      <c r="C13">
        <f>Rota!$E13</f>
      </c>
      <c r="D13">
        <f>Rota!$I13</f>
      </c>
      <c r="E13">
        <f>Rota!$M13</f>
      </c>
      <c r="F13">
        <f>IF(OR(Rota!$I13="",Rota!$M13=""),"",ROUND(Rota!$M13-Rota!$I13,2))</f>
      </c>
      <c r="G13">
        <f>Rota!$Q13</f>
      </c>
    </row>
    <row r="14">
      <c r="A14">
        <f>Rota!$C14</f>
      </c>
      <c r="B14">
        <f>Rota!$D14</f>
      </c>
      <c r="C14">
        <f>Rota!$E14</f>
      </c>
      <c r="D14">
        <f>Rota!$I14</f>
      </c>
      <c r="E14">
        <f>Rota!$M14</f>
      </c>
      <c r="F14">
        <f>IF(OR(Rota!$I14="",Rota!$M14=""),"",ROUND(Rota!$M14-Rota!$I14,2))</f>
      </c>
      <c r="G14">
        <f>Rota!$Q14</f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2.83203125" customWidth="1"/>
    <col min="5" max="5" width="11.83203125" customWidth="1"/>
  </cols>
  <sheetData>
    <row r="1">
      <c r="A1" t="str">
        <v>Employee ID</v>
      </c>
      <c r="B1" t="str">
        <v>Employee</v>
      </c>
      <c r="C1" t="str">
        <v>Week Starting</v>
      </c>
      <c r="D1" t="str">
        <v>Paid Hours</v>
      </c>
      <c r="E1" t="str">
        <v>Overtime</v>
      </c>
    </row>
    <row r="2">
      <c r="A2" t="str">
        <v>PB-001</v>
      </c>
      <c r="B2" t="str">
        <v>Tulsi Jagtap Surendar</v>
      </c>
      <c r="C2" t="str">
        <v>2026-09-07</v>
      </c>
      <c r="D2">
        <f>ROUND(SUMIFS(Rota!$Q:$Q,Rota!$B:$B,$A2,Rota!$P:$P,$C2),2)</f>
      </c>
      <c r="E2">
        <f>ROUND(MAX(0,$D2-Settings!$B$2),2)</f>
      </c>
    </row>
    <row r="3">
      <c r="A3" t="str">
        <v>PB-002</v>
      </c>
      <c r="B3" t="str">
        <v>Shiva Kumar Pulapati</v>
      </c>
      <c r="C3" t="str">
        <v>2026-09-07</v>
      </c>
      <c r="D3">
        <f>ROUND(SUMIFS(Rota!$Q:$Q,Rota!$B:$B,$A3,Rota!$P:$P,$C3),2)</f>
      </c>
      <c r="E3">
        <f>ROUND(MAX(0,$D3-Settings!$B$2),2)</f>
      </c>
    </row>
    <row r="4">
      <c r="A4" t="str">
        <v>PB-003</v>
      </c>
      <c r="B4" t="str">
        <v>Liam Philip Flude</v>
      </c>
      <c r="C4" t="str">
        <v>2026-09-07</v>
      </c>
      <c r="D4">
        <f>ROUND(SUMIFS(Rota!$Q:$Q,Rota!$B:$B,$A4,Rota!$P:$P,$C4),2)</f>
      </c>
      <c r="E4">
        <f>ROUND(MAX(0,$D4-Settings!$B$2),2)</f>
      </c>
    </row>
    <row r="5">
      <c r="A5" t="str">
        <v>PB-004</v>
      </c>
      <c r="B5" t="str">
        <v>Callum John Kemp</v>
      </c>
      <c r="C5" t="str">
        <v>2026-09-07</v>
      </c>
      <c r="D5">
        <f>ROUND(SUMIFS(Rota!$Q:$Q,Rota!$B:$B,$A5,Rota!$P:$P,$C5),2)</f>
      </c>
      <c r="E5">
        <f>ROUND(MAX(0,$D5-Settings!$B$2),2)</f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3.83203125" customWidth="1"/>
    <col min="5" max="5" width="11.83203125" customWidth="1"/>
  </cols>
  <sheetData>
    <row r="1">
      <c r="A1" t="str">
        <v>THE PINT BAR — REPORTS</v>
      </c>
    </row>
    <row r="3">
      <c r="A3" t="str">
        <v>By contract type</v>
      </c>
    </row>
    <row r="4">
      <c r="A4" t="str">
        <v>Contract Type</v>
      </c>
      <c r="B4" t="str">
        <v>Staff</v>
      </c>
      <c r="C4" t="str">
        <v>Shifts</v>
      </c>
      <c r="D4" t="str">
        <v>Paid Hours</v>
      </c>
      <c r="E4" t="str">
        <v>Overtime</v>
      </c>
    </row>
    <row r="5">
      <c r="A5" t="str">
        <v>Full Time</v>
      </c>
      <c r="B5">
        <f>COUNTIF(Employees!$F:$F,$A5)</f>
      </c>
      <c r="C5">
        <f>COUNTIF(Rota!$N:$N,$A5)</f>
      </c>
      <c r="D5">
        <f>ROUND(SUMIF(Rota!$N:$N,$A5,Rota!$Q:$Q),2)</f>
      </c>
      <c r="E5">
        <f>ROUND(SUMPRODUCT((Weekly!$E$2:$E$2000)*(COUNTIF(OFFSET(Employees!$A$1,MATCH(Weekly!$A$2:$A$2000,Employees!$A$2:$A$2000,0),5),$A5)&gt;0)),2)</f>
      </c>
    </row>
    <row r="6">
      <c r="A6" t="str">
        <v>Part Time</v>
      </c>
      <c r="B6">
        <f>COUNTIF(Employees!$F:$F,$A6)</f>
      </c>
      <c r="C6">
        <f>COUNTIF(Rota!$N:$N,$A6)</f>
      </c>
      <c r="D6">
        <f>ROUND(SUMIF(Rota!$N:$N,$A6,Rota!$Q:$Q),2)</f>
      </c>
      <c r="E6">
        <f>ROUND(SUMPRODUCT((Weekly!$E$2:$E$2000)*(COUNTIF(OFFSET(Employees!$A$1,MATCH(Weekly!$A$2:$A$2000,Employees!$A$2:$A$2000,0),5),$A6)&gt;0)),2)</f>
      </c>
    </row>
    <row r="7">
      <c r="A7" t="str">
        <v>Zero Hour Contract</v>
      </c>
      <c r="B7">
        <f>COUNTIF(Employees!$F:$F,$A7)</f>
      </c>
      <c r="C7">
        <f>COUNTIF(Rota!$N:$N,$A7)</f>
      </c>
      <c r="D7">
        <f>ROUND(SUMIF(Rota!$N:$N,$A7,Rota!$Q:$Q),2)</f>
      </c>
      <c r="E7">
        <f>ROUND(SUMPRODUCT((Weekly!$E$2:$E$2000)*(COUNTIF(OFFSET(Employees!$A$1,MATCH(Weekly!$A$2:$A$2000,Employees!$A$2:$A$2000,0),5),$A7)&gt;0)),2)</f>
      </c>
    </row>
    <row r="9">
      <c r="A9" t="str">
        <v>By job role</v>
      </c>
    </row>
    <row r="10">
      <c r="A10" t="str">
        <v>Job Role</v>
      </c>
      <c r="B10" t="str">
        <v>Shifts</v>
      </c>
      <c r="C10" t="str">
        <v>Paid Hours</v>
      </c>
    </row>
    <row r="11">
      <c r="A11" t="str">
        <v>Manager</v>
      </c>
      <c r="B11">
        <f>COUNTIF(Rota!$O:$O,$A12)</f>
      </c>
      <c r="C11">
        <f>ROUND(SUMIF(Rota!$O:$O,$A12,Rota!$Q:$Q),2)</f>
      </c>
    </row>
    <row r="12">
      <c r="A12" t="str">
        <v>Supervisor</v>
      </c>
      <c r="B12">
        <f>COUNTIF(Rota!$O:$O,$A13)</f>
      </c>
      <c r="C12">
        <f>ROUND(SUMIF(Rota!$O:$O,$A13,Rota!$Q:$Q),2)</f>
      </c>
    </row>
    <row r="13">
      <c r="A13" t="str">
        <v>Bartender</v>
      </c>
      <c r="B13">
        <f>COUNTIF(Rota!$O:$O,$A14)</f>
      </c>
      <c r="C13">
        <f>ROUND(SUMIF(Rota!$O:$O,$A14,Rota!$Q:$Q),2)</f>
      </c>
    </row>
    <row r="14">
      <c r="A14" t="str">
        <v>Waiter/Waitress</v>
      </c>
      <c r="B14">
        <f>COUNTIF(Rota!$O:$O,$A15)</f>
      </c>
      <c r="C14">
        <f>ROUND(SUMIF(Rota!$O:$O,$A15,Rota!$Q:$Q),2)</f>
      </c>
    </row>
    <row r="15">
      <c r="A15" t="str">
        <v>Kitchen</v>
      </c>
      <c r="B15">
        <f>COUNTIF(Rota!$O:$O,$A16)</f>
      </c>
      <c r="C15">
        <f>ROUND(SUMIF(Rota!$O:$O,$A16,Rota!$Q:$Q),2)</f>
      </c>
    </row>
    <row r="16">
      <c r="A16" t="str">
        <v>Chef</v>
      </c>
      <c r="B16">
        <f>COUNTIF(Rota!$O:$O,$A17)</f>
      </c>
      <c r="C16">
        <f>ROUND(SUMIF(Rota!$O:$O,$A17,Rota!$Q:$Q),2)</f>
      </c>
    </row>
    <row r="17">
      <c r="A17" t="str">
        <v>Kitchen Porter</v>
      </c>
      <c r="B17">
        <f>COUNTIF(Rota!$O:$O,$A18)</f>
      </c>
      <c r="C17">
        <f>ROUND(SUMIF(Rota!$O:$O,$A18,Rota!$Q:$Q),2)</f>
      </c>
    </row>
    <row r="18">
      <c r="A18" t="str">
        <v>Other</v>
      </c>
      <c r="B18">
        <f>COUNTIF(Rota!$O:$O,$A19)</f>
      </c>
      <c r="C18">
        <f>ROUND(SUMIF(Rota!$O:$O,$A19,Rota!$Q:$Q),2)</f>
      </c>
    </row>
  </sheetData>
  <ignoredErrors>
    <ignoredError numberStoredAsText="1" sqref="A1:E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6.83203125" customWidth="1"/>
    <col min="2" max="2" width="12.83203125" customWidth="1"/>
  </cols>
  <sheetData>
    <row r="1">
      <c r="A1" t="str">
        <v>Setting</v>
      </c>
      <c r="B1" t="str">
        <v>Value</v>
      </c>
    </row>
    <row r="2">
      <c r="A2" t="str">
        <v>Standard Weekly Hours</v>
      </c>
      <c r="B2">
        <v>40</v>
      </c>
    </row>
    <row r="3">
      <c r="A3" t="str">
        <v>Long Shift Alert (hours)</v>
      </c>
      <c r="B3">
        <v>10</v>
      </c>
    </row>
    <row r="5">
      <c r="A5" t="str">
        <v>Contract Types</v>
      </c>
    </row>
    <row r="6">
      <c r="A6" t="str">
        <v>Full Time</v>
      </c>
    </row>
    <row r="7">
      <c r="A7" t="str">
        <v>Part Time</v>
      </c>
    </row>
    <row r="8">
      <c r="A8" t="str">
        <v>Zero Hour Contract</v>
      </c>
    </row>
    <row r="10">
      <c r="A10" t="str">
        <v>Job Roles</v>
      </c>
    </row>
    <row r="11">
      <c r="A11" t="str">
        <v>Manager</v>
      </c>
    </row>
    <row r="12">
      <c r="A12" t="str">
        <v>Supervisor</v>
      </c>
    </row>
    <row r="13">
      <c r="A13" t="str">
        <v>Bartender</v>
      </c>
    </row>
    <row r="14">
      <c r="A14" t="str">
        <v>Waiter/Waitress</v>
      </c>
    </row>
    <row r="15">
      <c r="A15" t="str">
        <v>Kitchen</v>
      </c>
    </row>
    <row r="16">
      <c r="A16" t="str">
        <v>Chef</v>
      </c>
    </row>
    <row r="17">
      <c r="A17" t="str">
        <v>Kitchen Porter</v>
      </c>
    </row>
    <row r="18">
      <c r="A18" t="str">
        <v>Other</v>
      </c>
    </row>
    <row r="20">
      <c r="A20" t="str">
        <v>Employment Status</v>
      </c>
    </row>
    <row r="21">
      <c r="A21" t="str">
        <v>Active</v>
      </c>
    </row>
    <row r="22">
      <c r="A22" t="str">
        <v>On Leave</v>
      </c>
    </row>
    <row r="23">
      <c r="A23" t="str">
        <v>Left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Employees</vt:lpstr>
      <vt:lpstr>Rota</vt:lpstr>
      <vt:lpstr>Timesheet</vt:lpstr>
      <vt:lpstr>Weekly</vt:lpstr>
      <vt:lpstr>Reports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